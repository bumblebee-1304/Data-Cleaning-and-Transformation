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0ac111512962d7/Desktop/"/>
    </mc:Choice>
  </mc:AlternateContent>
  <xr:revisionPtr revIDLastSave="1" documentId="8_{9D285525-361B-4D04-AC2E-041FD7521F15}" xr6:coauthVersionLast="47" xr6:coauthVersionMax="47" xr10:uidLastSave="{346429FC-A24C-4A1A-9C2B-1246D2B1A564}"/>
  <bookViews>
    <workbookView xWindow="-108" yWindow="-108" windowWidth="23256" windowHeight="12456" xr2:uid="{88C61988-82DF-4A62-B101-5853F5D4F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15" i="1"/>
  <c r="F16" i="1"/>
  <c r="F1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</calcChain>
</file>

<file path=xl/sharedStrings.xml><?xml version="1.0" encoding="utf-8"?>
<sst xmlns="http://schemas.openxmlformats.org/spreadsheetml/2006/main" count="160" uniqueCount="109">
  <si>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</si>
  <si>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</si>
  <si>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</si>
  <si>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</si>
  <si>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</si>
  <si>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</si>
  <si>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</si>
  <si>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</si>
  <si>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</si>
  <si>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</si>
  <si>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</si>
  <si>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</si>
  <si>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</si>
  <si>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</si>
  <si>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</si>
  <si>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</si>
  <si>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</si>
  <si>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</si>
  <si>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</si>
  <si>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</si>
  <si>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</si>
  <si>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</si>
  <si>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</si>
  <si>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</si>
  <si>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</si>
  <si>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</si>
  <si>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</si>
  <si>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</si>
  <si>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</si>
  <si>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</si>
  <si>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</si>
  <si>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</si>
  <si>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</si>
  <si>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</si>
  <si>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</si>
  <si>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</si>
  <si>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</si>
  <si>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</si>
  <si>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</si>
  <si>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</si>
  <si>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</si>
  <si>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</si>
  <si>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</si>
  <si>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</si>
  <si>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</si>
  <si>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</si>
  <si>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</si>
  <si>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</si>
  <si>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</si>
  <si>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</si>
  <si>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</si>
  <si>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</si>
  <si>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</si>
  <si>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</si>
  <si>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</si>
  <si>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</si>
  <si>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</si>
  <si>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</si>
  <si>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</si>
  <si>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</si>
  <si>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</si>
  <si>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</si>
  <si>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</si>
  <si>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</si>
  <si>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</si>
  <si>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</si>
  <si>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</si>
  <si>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</si>
  <si>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</si>
  <si>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</si>
  <si>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</si>
  <si>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</si>
  <si>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</si>
  <si>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</si>
  <si>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</si>
  <si>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</si>
  <si>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</si>
  <si>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</si>
  <si>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</si>
  <si>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</si>
  <si>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</si>
  <si>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</si>
  <si>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</si>
  <si>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</si>
  <si>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</si>
  <si>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</si>
  <si>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</si>
  <si>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</si>
  <si>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</si>
  <si>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</si>
  <si>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</si>
  <si>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</si>
  <si>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</si>
  <si>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</si>
  <si>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Manufacturing 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</si>
  <si>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</si>
  <si>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</si>
  <si>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</si>
  <si>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</si>
  <si>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</si>
  <si>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</si>
  <si>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</si>
  <si>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</si>
  <si>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</si>
  <si>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</si>
  <si>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</si>
  <si>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</si>
  <si>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Code2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</si>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</sst>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0"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numFmt numFmtId="0" formatCode="General"/>
    </dxf>
    <dxf>
      <numFmt numFmtId="19" formatCode="dd/mm/yyyy"/>
    </dxf>
    <dxf>
      <numFmt numFmtId="164" formatCode="[$$-409]#,##0"/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DD9E11-0793-4C4E-A61A-9232385367EF}" name="Table5" displayName="Table5" ref="A1:I32" totalsRowShown="0">
  <autoFilter ref="A1:I32" xr:uid="{1DDD9E11-0793-4C4E-A61A-9232385367EF}"/>
  <tableColumns count="9">
    <tableColumn id="1" xr3:uid="{B8BABB9F-52AE-4763-9941-15C39ADA1059}" name="Product ID"/>
    <tableColumn id="2" xr3:uid="{0F2BA38C-3ACD-4DEB-B1F3-6390A7EB05F8}" name="Product Name"/>
    <tableColumn id="3" xr3:uid="{1AB2CEBE-E680-4360-BBB9-8D765FDB2255}" name="Brand Name"/>
    <tableColumn id="4" xr3:uid="{98F1F5C4-8D50-40BF-95B9-9FE5EEFBFDEF}" name="Price ($)" dataDxfId="9"/>
    <tableColumn id="5" xr3:uid="{1641F9CA-BF2B-4688-A649-48BD36F914FC}" name="Quantity"/>
    <tableColumn id="6" xr3:uid="{AEDACC6C-4A98-4483-A674-E56B26A3CE46}" name="Category"/>
    <tableColumn id="7" xr3:uid="{13787551-D0BC-4242-99AF-E843BE280DCF}" name="Manufacturing Date" dataDxfId="8"/>
    <tableColumn id="9" xr3:uid="{F000B0F4-6C0A-4949-901C-951E8C99E2B9}" name="Country Code2"/>
    <tableColumn id="10" xr3:uid="{3494355E-577F-4063-BB1A-11922B87D989}" name="Product Brand" dataDxfId="7">
      <calculatedColumnFormula>_xlfn.CONCAT(Table5[[#This Row],[Brand Name]]," ",Table5[[#This Row],[Product Name]])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3CC0-154C-4FEF-A680-35F489198FA5}">
  <dimension ref="A1:I35"/>
  <sheetViews>
    <sheetView tabSelected="1" topLeftCell="B1" workbookViewId="0">
      <selection activeCell="G27" sqref="G27"/>
    </sheetView>
  </sheetViews>
  <sheetFormatPr defaultRowHeight="14.4" x14ac:dyDescent="0.3"/>
  <cols>
    <col min="1" max="1" width="14.109375" customWidth="1"/>
    <col min="2" max="2" width="15.33203125" customWidth="1"/>
    <col min="3" max="3" width="13.6640625" customWidth="1"/>
    <col min="4" max="4" width="10.21875" style="4" customWidth="1"/>
    <col min="5" max="5" width="12.5546875" style="1" customWidth="1"/>
    <col min="6" max="6" width="12.88671875" customWidth="1"/>
    <col min="7" max="7" width="20.33203125" style="2" bestFit="1" customWidth="1"/>
    <col min="8" max="8" width="15.88671875" bestFit="1" customWidth="1"/>
    <col min="9" max="9" width="2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s="2" t="s">
        <v>94</v>
      </c>
      <c r="H1" t="s">
        <v>107</v>
      </c>
      <c r="I1" t="s">
        <v>108</v>
      </c>
    </row>
    <row r="2" spans="1:9" x14ac:dyDescent="0.3">
      <c r="A2" t="s">
        <v>6</v>
      </c>
      <c r="B2" t="s">
        <v>39</v>
      </c>
      <c r="C2" t="s">
        <v>7</v>
      </c>
      <c r="D2" s="3">
        <v>1000</v>
      </c>
      <c r="E2">
        <v>30</v>
      </c>
      <c r="F2" t="s">
        <v>8</v>
      </c>
      <c r="G2" s="2">
        <v>46050</v>
      </c>
      <c r="H2" t="s">
        <v>95</v>
      </c>
      <c r="I2" t="str">
        <f>_xlfn.CONCAT(Table5[[#This Row],[Brand Name]]," ",Table5[[#This Row],[Product Name]])</f>
        <v>Dell Laptop</v>
      </c>
    </row>
    <row r="3" spans="1:9" x14ac:dyDescent="0.3">
      <c r="A3" t="s">
        <v>9</v>
      </c>
      <c r="B3" t="s">
        <v>10</v>
      </c>
      <c r="C3" t="s">
        <v>11</v>
      </c>
      <c r="D3" s="3">
        <v>80</v>
      </c>
      <c r="E3">
        <v>15</v>
      </c>
      <c r="F3" t="s">
        <v>12</v>
      </c>
      <c r="G3" s="2">
        <v>46068</v>
      </c>
      <c r="H3" t="s">
        <v>95</v>
      </c>
      <c r="I3" t="str">
        <f>_xlfn.CONCAT(Table5[[#This Row],[Brand Name]]," ",Table5[[#This Row],[Product Name]])</f>
        <v>Nike Sneakers</v>
      </c>
    </row>
    <row r="4" spans="1:9" x14ac:dyDescent="0.3">
      <c r="A4" t="s">
        <v>13</v>
      </c>
      <c r="B4" t="s">
        <v>14</v>
      </c>
      <c r="C4" t="s">
        <v>15</v>
      </c>
      <c r="D4" s="3">
        <v>130</v>
      </c>
      <c r="E4">
        <v>40</v>
      </c>
      <c r="F4" t="s">
        <v>16</v>
      </c>
      <c r="G4" s="2">
        <v>46084</v>
      </c>
      <c r="H4" t="s">
        <v>95</v>
      </c>
      <c r="I4" t="str">
        <f>_xlfn.CONCAT(Table5[[#This Row],[Brand Name]]," ",Table5[[#This Row],[Product Name]])</f>
        <v>Keurig Coffee Maker</v>
      </c>
    </row>
    <row r="5" spans="1:9" x14ac:dyDescent="0.3">
      <c r="A5" t="s">
        <v>17</v>
      </c>
      <c r="B5" t="s">
        <v>73</v>
      </c>
      <c r="C5" t="s">
        <v>18</v>
      </c>
      <c r="D5" s="3">
        <v>900</v>
      </c>
      <c r="E5">
        <v>25</v>
      </c>
      <c r="F5" t="s">
        <v>8</v>
      </c>
      <c r="G5" s="2">
        <v>46123</v>
      </c>
      <c r="H5" t="s">
        <v>95</v>
      </c>
      <c r="I5" t="str">
        <f>_xlfn.CONCAT(Table5[[#This Row],[Brand Name]]," ",Table5[[#This Row],[Product Name]])</f>
        <v>Samsung Smartphone</v>
      </c>
    </row>
    <row r="6" spans="1:9" x14ac:dyDescent="0.3">
      <c r="A6" t="s">
        <v>19</v>
      </c>
      <c r="B6" t="s">
        <v>20</v>
      </c>
      <c r="C6" t="s">
        <v>21</v>
      </c>
      <c r="D6" s="3">
        <v>70</v>
      </c>
      <c r="E6">
        <v>20</v>
      </c>
      <c r="F6" t="s">
        <v>93</v>
      </c>
      <c r="G6" s="2">
        <v>46164</v>
      </c>
      <c r="H6" t="s">
        <v>95</v>
      </c>
      <c r="I6" t="str">
        <f>_xlfn.CONCAT(Table5[[#This Row],[Brand Name]]," ",Table5[[#This Row],[Product Name]])</f>
        <v>North Face Backpack</v>
      </c>
    </row>
    <row r="7" spans="1:9" x14ac:dyDescent="0.3">
      <c r="A7" t="s">
        <v>22</v>
      </c>
      <c r="B7" t="s">
        <v>23</v>
      </c>
      <c r="C7" t="s">
        <v>24</v>
      </c>
      <c r="D7" s="3">
        <v>250</v>
      </c>
      <c r="E7">
        <v>45</v>
      </c>
      <c r="F7" t="str">
        <f>"Electronics"</f>
        <v>Electronics</v>
      </c>
      <c r="G7" s="2">
        <v>46180</v>
      </c>
      <c r="H7" t="s">
        <v>96</v>
      </c>
      <c r="I7" t="str">
        <f>_xlfn.CONCAT(Table5[[#This Row],[Brand Name]]," ",Table5[[#This Row],[Product Name]])</f>
        <v>Sony Headphones</v>
      </c>
    </row>
    <row r="8" spans="1:9" x14ac:dyDescent="0.3">
      <c r="A8" t="s">
        <v>25</v>
      </c>
      <c r="B8" t="s">
        <v>26</v>
      </c>
      <c r="C8" t="s">
        <v>27</v>
      </c>
      <c r="D8" s="3">
        <v>30</v>
      </c>
      <c r="E8">
        <v>5</v>
      </c>
      <c r="F8" t="s">
        <v>12</v>
      </c>
      <c r="G8" s="2">
        <v>46222</v>
      </c>
      <c r="H8" t="s">
        <v>96</v>
      </c>
      <c r="I8" t="str">
        <f>_xlfn.CONCAT(Table5[[#This Row],[Brand Name]]," ",Table5[[#This Row],[Product Name]])</f>
        <v>Adidas T-shirt</v>
      </c>
    </row>
    <row r="9" spans="1:9" x14ac:dyDescent="0.3">
      <c r="A9" t="s">
        <v>28</v>
      </c>
      <c r="B9" t="s">
        <v>29</v>
      </c>
      <c r="C9" t="s">
        <v>30</v>
      </c>
      <c r="D9" s="3">
        <v>90</v>
      </c>
      <c r="E9">
        <v>35</v>
      </c>
      <c r="F9" t="s">
        <v>16</v>
      </c>
      <c r="G9" s="2">
        <v>46257</v>
      </c>
      <c r="H9" t="s">
        <v>96</v>
      </c>
      <c r="I9" t="str">
        <f>_xlfn.CONCAT(Table5[[#This Row],[Brand Name]]," ",Table5[[#This Row],[Product Name]])</f>
        <v>Ninja Blender</v>
      </c>
    </row>
    <row r="10" spans="1:9" x14ac:dyDescent="0.3">
      <c r="A10" t="s">
        <v>31</v>
      </c>
      <c r="B10" t="s">
        <v>32</v>
      </c>
      <c r="C10" t="s">
        <v>33</v>
      </c>
      <c r="D10" s="3">
        <v>500</v>
      </c>
      <c r="E10">
        <v>50</v>
      </c>
      <c r="F10" t="s">
        <v>8</v>
      </c>
      <c r="G10" s="2">
        <v>46270</v>
      </c>
      <c r="H10" t="s">
        <v>96</v>
      </c>
      <c r="I10" t="str">
        <f>_xlfn.CONCAT(Table5[[#This Row],[Brand Name]]," ",Table5[[#This Row],[Product Name]])</f>
        <v>Apple Tablet</v>
      </c>
    </row>
    <row r="11" spans="1:9" x14ac:dyDescent="0.3">
      <c r="A11" t="s">
        <v>34</v>
      </c>
      <c r="B11" t="s">
        <v>35</v>
      </c>
      <c r="C11" t="s">
        <v>36</v>
      </c>
      <c r="D11" s="3">
        <v>130</v>
      </c>
      <c r="E11">
        <v>10</v>
      </c>
      <c r="F11" t="s">
        <v>37</v>
      </c>
      <c r="G11" s="2">
        <v>46309</v>
      </c>
      <c r="H11" t="s">
        <v>96</v>
      </c>
      <c r="I11" t="str">
        <f>_xlfn.CONCAT(Table5[[#This Row],[Brand Name]]," ",Table5[[#This Row],[Product Name]])</f>
        <v>Timberland Hiking Boots</v>
      </c>
    </row>
    <row r="12" spans="1:9" x14ac:dyDescent="0.3">
      <c r="A12" t="s">
        <v>38</v>
      </c>
      <c r="B12" t="s">
        <v>39</v>
      </c>
      <c r="C12" t="s">
        <v>40</v>
      </c>
      <c r="D12" s="3">
        <v>950</v>
      </c>
      <c r="E12">
        <v>25</v>
      </c>
      <c r="F12" t="s">
        <v>8</v>
      </c>
      <c r="G12" s="2">
        <v>46190</v>
      </c>
      <c r="H12" t="s">
        <v>97</v>
      </c>
      <c r="I12" t="str">
        <f>_xlfn.CONCAT(Table5[[#This Row],[Brand Name]]," ",Table5[[#This Row],[Product Name]])</f>
        <v>HP Laptop</v>
      </c>
    </row>
    <row r="13" spans="1:9" x14ac:dyDescent="0.3">
      <c r="A13" t="s">
        <v>41</v>
      </c>
      <c r="B13" t="s">
        <v>10</v>
      </c>
      <c r="C13" t="s">
        <v>27</v>
      </c>
      <c r="D13" s="3">
        <v>90</v>
      </c>
      <c r="E13">
        <v>40</v>
      </c>
      <c r="F13" t="s">
        <v>12</v>
      </c>
      <c r="G13" s="2">
        <v>46351</v>
      </c>
      <c r="H13" t="s">
        <v>98</v>
      </c>
      <c r="I13" t="str">
        <f>_xlfn.CONCAT(Table5[[#This Row],[Brand Name]]," ",Table5[[#This Row],[Product Name]])</f>
        <v>Adidas Sneakers</v>
      </c>
    </row>
    <row r="14" spans="1:9" x14ac:dyDescent="0.3">
      <c r="A14" t="s">
        <v>42</v>
      </c>
      <c r="B14" t="s">
        <v>14</v>
      </c>
      <c r="C14" t="s">
        <v>43</v>
      </c>
      <c r="D14" s="3">
        <v>120</v>
      </c>
      <c r="E14">
        <v>35</v>
      </c>
      <c r="F14" t="s">
        <v>16</v>
      </c>
      <c r="G14" s="2">
        <v>46364</v>
      </c>
      <c r="H14" t="s">
        <v>99</v>
      </c>
      <c r="I14" t="str">
        <f>_xlfn.CONCAT(Table5[[#This Row],[Brand Name]]," ",Table5[[#This Row],[Product Name]])</f>
        <v>Nespresso Coffee Maker</v>
      </c>
    </row>
    <row r="15" spans="1:9" x14ac:dyDescent="0.3">
      <c r="A15" t="s">
        <v>44</v>
      </c>
      <c r="B15" t="s">
        <v>45</v>
      </c>
      <c r="C15" t="s">
        <v>46</v>
      </c>
      <c r="D15" s="3">
        <v>150</v>
      </c>
      <c r="E15">
        <v>15</v>
      </c>
      <c r="F15" t="str">
        <f>"Electronics"</f>
        <v>Electronics</v>
      </c>
      <c r="G15" s="2">
        <v>46071</v>
      </c>
      <c r="H15" t="s">
        <v>100</v>
      </c>
      <c r="I15" t="str">
        <f>_xlfn.CONCAT(Table5[[#This Row],[Brand Name]]," ",Table5[[#This Row],[Product Name]])</f>
        <v>Fitbit Smartwatch</v>
      </c>
    </row>
    <row r="16" spans="1:9" x14ac:dyDescent="0.3">
      <c r="A16" t="s">
        <v>47</v>
      </c>
      <c r="B16" t="s">
        <v>23</v>
      </c>
      <c r="C16" t="s">
        <v>48</v>
      </c>
      <c r="D16" s="3">
        <v>250</v>
      </c>
      <c r="E16">
        <v>20</v>
      </c>
      <c r="F16" t="str">
        <f>"Electronics"</f>
        <v>Electronics</v>
      </c>
      <c r="G16" s="2">
        <v>46128</v>
      </c>
      <c r="H16" t="s">
        <v>101</v>
      </c>
      <c r="I16" t="str">
        <f>_xlfn.CONCAT(Table5[[#This Row],[Brand Name]]," ",Table5[[#This Row],[Product Name]])</f>
        <v>Bose Headphones</v>
      </c>
    </row>
    <row r="17" spans="1:9" x14ac:dyDescent="0.3">
      <c r="A17" t="s">
        <v>49</v>
      </c>
      <c r="B17" t="s">
        <v>50</v>
      </c>
      <c r="C17" t="s">
        <v>51</v>
      </c>
      <c r="D17" s="3">
        <v>50</v>
      </c>
      <c r="E17">
        <v>35</v>
      </c>
      <c r="F17" t="s">
        <v>52</v>
      </c>
      <c r="G17" s="2">
        <v>46255</v>
      </c>
      <c r="H17" t="s">
        <v>100</v>
      </c>
      <c r="I17" t="str">
        <f>_xlfn.CONCAT(Table5[[#This Row],[Brand Name]]," ",Table5[[#This Row],[Product Name]])</f>
        <v>Samsonite Laptop Bag</v>
      </c>
    </row>
    <row r="18" spans="1:9" x14ac:dyDescent="0.3">
      <c r="A18" t="s">
        <v>53</v>
      </c>
      <c r="B18" t="s">
        <v>45</v>
      </c>
      <c r="C18" t="s">
        <v>54</v>
      </c>
      <c r="D18" s="3">
        <v>160</v>
      </c>
      <c r="E18">
        <v>15</v>
      </c>
      <c r="F18" t="str">
        <f>"Electronics"</f>
        <v>Electronics</v>
      </c>
      <c r="G18" s="2">
        <v>46254</v>
      </c>
      <c r="H18" t="s">
        <v>102</v>
      </c>
      <c r="I18" t="str">
        <f>_xlfn.CONCAT(Table5[[#This Row],[Brand Name]]," ",Table5[[#This Row],[Product Name]])</f>
        <v>Huawei Smartwatch</v>
      </c>
    </row>
    <row r="19" spans="1:9" x14ac:dyDescent="0.3">
      <c r="A19" t="s">
        <v>55</v>
      </c>
      <c r="B19" t="s">
        <v>39</v>
      </c>
      <c r="C19" t="s">
        <v>56</v>
      </c>
      <c r="D19" s="3">
        <v>980</v>
      </c>
      <c r="E19">
        <v>10</v>
      </c>
      <c r="F19" t="s">
        <v>8</v>
      </c>
      <c r="G19" s="2">
        <v>46049</v>
      </c>
      <c r="H19" t="s">
        <v>103</v>
      </c>
      <c r="I19" t="str">
        <f>_xlfn.CONCAT(Table5[[#This Row],[Brand Name]]," ",Table5[[#This Row],[Product Name]])</f>
        <v>Asus Laptop</v>
      </c>
    </row>
    <row r="20" spans="1:9" x14ac:dyDescent="0.3">
      <c r="A20" t="s">
        <v>57</v>
      </c>
      <c r="B20" t="s">
        <v>58</v>
      </c>
      <c r="C20" t="s">
        <v>59</v>
      </c>
      <c r="D20" s="3">
        <v>150</v>
      </c>
      <c r="E20">
        <v>15</v>
      </c>
      <c r="F20" t="s">
        <v>12</v>
      </c>
      <c r="G20" s="2">
        <v>46082</v>
      </c>
      <c r="H20" t="s">
        <v>96</v>
      </c>
      <c r="I20" t="str">
        <f>_xlfn.CONCAT(Table5[[#This Row],[Brand Name]]," ",Table5[[#This Row],[Product Name]])</f>
        <v>Oakley Sunglasses</v>
      </c>
    </row>
    <row r="21" spans="1:9" x14ac:dyDescent="0.3">
      <c r="A21" t="s">
        <v>60</v>
      </c>
      <c r="B21" t="s">
        <v>61</v>
      </c>
      <c r="C21" t="s">
        <v>62</v>
      </c>
      <c r="D21" s="3">
        <v>0</v>
      </c>
      <c r="E21">
        <v>10</v>
      </c>
      <c r="F21" t="s">
        <v>37</v>
      </c>
      <c r="G21" s="2">
        <v>46248</v>
      </c>
      <c r="H21" t="s">
        <v>95</v>
      </c>
      <c r="I21" t="str">
        <f>_xlfn.CONCAT(Table5[[#This Row],[Brand Name]]," ",Table5[[#This Row],[Product Name]])</f>
        <v>Coleman Camping Tent</v>
      </c>
    </row>
    <row r="22" spans="1:9" x14ac:dyDescent="0.3">
      <c r="A22" t="s">
        <v>63</v>
      </c>
      <c r="B22" t="s">
        <v>64</v>
      </c>
      <c r="C22" t="s">
        <v>65</v>
      </c>
      <c r="D22" s="3">
        <v>700</v>
      </c>
      <c r="E22">
        <v>50</v>
      </c>
      <c r="F22" t="s">
        <v>8</v>
      </c>
      <c r="G22" s="2">
        <v>46156</v>
      </c>
      <c r="H22" t="s">
        <v>104</v>
      </c>
      <c r="I22" t="str">
        <f>_xlfn.CONCAT(Table5[[#This Row],[Brand Name]]," ",Table5[[#This Row],[Product Name]])</f>
        <v>Nikon Camera</v>
      </c>
    </row>
    <row r="23" spans="1:9" x14ac:dyDescent="0.3">
      <c r="A23" t="s">
        <v>66</v>
      </c>
      <c r="B23" t="s">
        <v>67</v>
      </c>
      <c r="C23" t="s">
        <v>68</v>
      </c>
      <c r="D23" s="3">
        <v>80</v>
      </c>
      <c r="E23">
        <v>20</v>
      </c>
      <c r="F23" t="s">
        <v>16</v>
      </c>
      <c r="G23" s="2">
        <v>46031</v>
      </c>
      <c r="H23" t="s">
        <v>100</v>
      </c>
      <c r="I23" t="str">
        <f>_xlfn.CONCAT(Table5[[#This Row],[Brand Name]]," ",Table5[[#This Row],[Product Name]])</f>
        <v>Panasonic Microwave</v>
      </c>
    </row>
    <row r="24" spans="1:9" x14ac:dyDescent="0.3">
      <c r="A24" t="s">
        <v>69</v>
      </c>
      <c r="B24" t="s">
        <v>70</v>
      </c>
      <c r="C24" t="s">
        <v>71</v>
      </c>
      <c r="D24" s="3">
        <v>150</v>
      </c>
      <c r="E24">
        <v>30</v>
      </c>
      <c r="F24" t="s">
        <v>8</v>
      </c>
      <c r="G24" s="2">
        <v>46222</v>
      </c>
      <c r="H24" t="s">
        <v>105</v>
      </c>
      <c r="I24" t="str">
        <f>_xlfn.CONCAT(Table5[[#This Row],[Brand Name]]," ",Table5[[#This Row],[Product Name]])</f>
        <v>Xiaomi Fitness Tracker</v>
      </c>
    </row>
    <row r="25" spans="1:9" x14ac:dyDescent="0.3">
      <c r="A25" t="s">
        <v>72</v>
      </c>
      <c r="B25" t="s">
        <v>73</v>
      </c>
      <c r="C25" t="s">
        <v>74</v>
      </c>
      <c r="D25" s="3">
        <v>800</v>
      </c>
      <c r="E25">
        <v>45</v>
      </c>
      <c r="F25" t="s">
        <v>8</v>
      </c>
      <c r="G25" s="2">
        <v>46294</v>
      </c>
      <c r="H25" t="s">
        <v>100</v>
      </c>
      <c r="I25" t="str">
        <f>_xlfn.CONCAT(Table5[[#This Row],[Brand Name]]," ",Table5[[#This Row],[Product Name]])</f>
        <v>Google Smartphone</v>
      </c>
    </row>
    <row r="26" spans="1:9" x14ac:dyDescent="0.3">
      <c r="A26" t="s">
        <v>75</v>
      </c>
      <c r="B26" t="s">
        <v>58</v>
      </c>
      <c r="C26" t="s">
        <v>76</v>
      </c>
      <c r="D26" s="3">
        <v>150</v>
      </c>
      <c r="E26">
        <v>25</v>
      </c>
      <c r="F26" t="s">
        <v>12</v>
      </c>
      <c r="G26" s="2">
        <v>46176</v>
      </c>
      <c r="H26" t="s">
        <v>100</v>
      </c>
      <c r="I26" t="str">
        <f>_xlfn.CONCAT(Table5[[#This Row],[Brand Name]]," ",Table5[[#This Row],[Product Name]])</f>
        <v>Ray-Ban Sunglasses</v>
      </c>
    </row>
    <row r="27" spans="1:9" x14ac:dyDescent="0.3">
      <c r="A27" t="s">
        <v>77</v>
      </c>
      <c r="B27" t="s">
        <v>29</v>
      </c>
      <c r="C27" t="s">
        <v>78</v>
      </c>
      <c r="D27" s="3">
        <v>400</v>
      </c>
      <c r="E27">
        <v>40</v>
      </c>
      <c r="F27" t="s">
        <v>16</v>
      </c>
      <c r="G27" s="2">
        <v>46214</v>
      </c>
      <c r="H27" t="s">
        <v>100</v>
      </c>
      <c r="I27" t="str">
        <f>_xlfn.CONCAT(Table5[[#This Row],[Brand Name]]," ",Table5[[#This Row],[Product Name]])</f>
        <v>Vitamix Blender</v>
      </c>
    </row>
    <row r="28" spans="1:9" x14ac:dyDescent="0.3">
      <c r="A28" t="s">
        <v>79</v>
      </c>
      <c r="B28" t="s">
        <v>80</v>
      </c>
      <c r="C28" t="s">
        <v>81</v>
      </c>
      <c r="D28" s="3">
        <v>60</v>
      </c>
      <c r="E28">
        <v>30</v>
      </c>
      <c r="F28" t="s">
        <v>12</v>
      </c>
      <c r="G28" s="2">
        <v>46088</v>
      </c>
      <c r="H28" t="s">
        <v>100</v>
      </c>
      <c r="I28" t="str">
        <f>_xlfn.CONCAT(Table5[[#This Row],[Brand Name]]," ",Table5[[#This Row],[Product Name]])</f>
        <v>Zara Dress</v>
      </c>
    </row>
    <row r="29" spans="1:9" x14ac:dyDescent="0.3">
      <c r="A29" t="s">
        <v>82</v>
      </c>
      <c r="B29" t="s">
        <v>83</v>
      </c>
      <c r="C29" t="s">
        <v>84</v>
      </c>
      <c r="D29" s="3">
        <v>40</v>
      </c>
      <c r="E29">
        <v>10</v>
      </c>
      <c r="F29" t="s">
        <v>16</v>
      </c>
      <c r="G29" s="2">
        <v>46125</v>
      </c>
      <c r="H29" t="s">
        <v>100</v>
      </c>
      <c r="I29" t="str">
        <f>_xlfn.CONCAT(Table5[[#This Row],[Brand Name]]," ",Table5[[#This Row],[Product Name]])</f>
        <v>Hamilton Toaster</v>
      </c>
    </row>
    <row r="30" spans="1:9" x14ac:dyDescent="0.3">
      <c r="A30" t="s">
        <v>85</v>
      </c>
      <c r="B30" t="s">
        <v>70</v>
      </c>
      <c r="C30" t="s">
        <v>86</v>
      </c>
      <c r="D30" s="3">
        <v>130</v>
      </c>
      <c r="E30">
        <v>5</v>
      </c>
      <c r="F30" t="s">
        <v>8</v>
      </c>
      <c r="G30" s="2">
        <v>46166</v>
      </c>
      <c r="H30" t="s">
        <v>100</v>
      </c>
      <c r="I30" t="str">
        <f>_xlfn.CONCAT(Table5[[#This Row],[Brand Name]]," ",Table5[[#This Row],[Product Name]])</f>
        <v>Garmin Fitness Tracker</v>
      </c>
    </row>
    <row r="31" spans="1:9" x14ac:dyDescent="0.3">
      <c r="A31" t="s">
        <v>87</v>
      </c>
      <c r="B31" t="s">
        <v>88</v>
      </c>
      <c r="C31" t="s">
        <v>89</v>
      </c>
      <c r="D31" s="3">
        <v>50</v>
      </c>
      <c r="E31">
        <v>50</v>
      </c>
      <c r="F31" t="s">
        <v>12</v>
      </c>
      <c r="G31" s="2">
        <v>46358</v>
      </c>
      <c r="H31" t="s">
        <v>100</v>
      </c>
      <c r="I31" t="str">
        <f>_xlfn.CONCAT(Table5[[#This Row],[Brand Name]]," ",Table5[[#This Row],[Product Name]])</f>
        <v>Levi's Jeans</v>
      </c>
    </row>
    <row r="32" spans="1:9" x14ac:dyDescent="0.3">
      <c r="A32" t="s">
        <v>90</v>
      </c>
      <c r="B32" t="s">
        <v>91</v>
      </c>
      <c r="C32" t="s">
        <v>92</v>
      </c>
      <c r="D32" s="3">
        <v>100</v>
      </c>
      <c r="E32">
        <v>20</v>
      </c>
      <c r="F32" t="s">
        <v>52</v>
      </c>
      <c r="G32" s="2">
        <v>46212</v>
      </c>
      <c r="H32" t="s">
        <v>106</v>
      </c>
      <c r="I32" t="str">
        <f>_xlfn.CONCAT(Table5[[#This Row],[Brand Name]]," ",Table5[[#This Row],[Product Name]])</f>
        <v>Casio Watch</v>
      </c>
    </row>
    <row r="33" spans="4:5" x14ac:dyDescent="0.3">
      <c r="D33" s="3"/>
      <c r="E33"/>
    </row>
    <row r="34" spans="4:5" x14ac:dyDescent="0.3">
      <c r="D34" s="3"/>
      <c r="E34"/>
    </row>
    <row r="35" spans="4:5" x14ac:dyDescent="0.3">
      <c r="D35" s="3"/>
      <c r="E35"/>
    </row>
  </sheetData>
  <conditionalFormatting sqref="D1:D104857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{6EF5035A-C939-489E-9B7B-FCF3577AA89C}</x14:id>
        </ext>
      </extLst>
    </cfRule>
  </conditionalFormatting>
  <conditionalFormatting sqref="B2:I32">
    <cfRule type="expression" dxfId="0" priority="1">
      <formula>$F2="Electronics"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F5035A-C939-489E-9B7B-FCF3577AA8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Anugraha BM</dc:creator>
  <cp:lastModifiedBy>Anugraha BM</cp:lastModifiedBy>
  <dcterms:created xsi:type="dcterms:W3CDTF">2026-09-23T19:22:01Z</dcterms:created>
  <dcterms:modified xsi:type="dcterms:W3CDTF">2026-09-28T09:19:08Z</dcterms:modified>
</cp:coreProperties>
</file>